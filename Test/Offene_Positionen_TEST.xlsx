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ene_Positionen" sheetId="1" r:id="rId5"/>
  </sheets>
  <definedNames/>
  <calcPr/>
</workbook>
</file>

<file path=xl/sharedStrings.xml><?xml version="1.0" encoding="utf-8"?>
<sst xmlns="http://schemas.openxmlformats.org/spreadsheetml/2006/main" count="246" uniqueCount="111">
  <si>
    <t>Ticker</t>
  </si>
  <si>
    <t>Name</t>
  </si>
  <si>
    <t>Sektor</t>
  </si>
  <si>
    <t>Markt</t>
  </si>
  <si>
    <t>Waehrung</t>
  </si>
  <si>
    <t>Richtung</t>
  </si>
  <si>
    <t>Ideen_Quelle</t>
  </si>
  <si>
    <t>Einstiegsdatum</t>
  </si>
  <si>
    <t>Einstieg</t>
  </si>
  <si>
    <t>Aktueller_Kurs</t>
  </si>
  <si>
    <t>Stop</t>
  </si>
  <si>
    <t>TP1</t>
  </si>
  <si>
    <t>TP2</t>
  </si>
  <si>
    <t>Status</t>
  </si>
  <si>
    <t>Ausstiegsdatum</t>
  </si>
  <si>
    <t>Ausstiegskurs</t>
  </si>
  <si>
    <t>Performance_Seit_Einstieg%</t>
  </si>
  <si>
    <t>TP_Hinweis</t>
  </si>
  <si>
    <t>Alert_Hinweis</t>
  </si>
  <si>
    <t>Produkt_Typ</t>
  </si>
  <si>
    <t>Emittent</t>
  </si>
  <si>
    <t>Hebel</t>
  </si>
  <si>
    <t>OS_Einstiegskurs</t>
  </si>
  <si>
    <t>OS_Aktueller_Kurs</t>
  </si>
  <si>
    <t>OS_Performance%</t>
  </si>
  <si>
    <t>OS_Quelle</t>
  </si>
  <si>
    <t>OS_Zeitstempel</t>
  </si>
  <si>
    <t>OS_WKN</t>
  </si>
  <si>
    <t>ANLEITUNG</t>
  </si>
  <si>
    <t>NEUE POSITION - Pflichtfelder: 1. Ticker  2. Einstieg  3. Stop. EMPFOHLEN zusaetzlich auszufuellen: TP1 und TP2 aus der echten technischen Zielberechnung (z.B. direkt aus Setups.csv/Short_Setups.csv/Briefing.txt kopieren) - werden nie automatisch ueberschrieben, sobald sie einmal eingetragen sind. Bleiben TP1/TP2 leer, greift ersatzweise eine grobe automatische 2:1/3:1-Chance/Risiko-Schaetzung (kein echtes Kursziel, nur ein Platzhalter). Alle UEBRIGEN Felder LEER lassen, besonders Status! Leerer Status = Signal fuer die Automatik, die dann Name, Markt, Waehrung, Einstiegsdatum und Status=Offen selbst ergaenzt. TICKER-FORMAT: US-Aktien ohne Zusatz (z.B. NVDA, OXY) - europaeische Aktien IMMER mit Boersen-Suffix: .DE Xetra (RWE.DE), .PA Paris (AI.PA), .F Frankfurt (5LA1.F), .AS Amsterdam, .MI Mailand. Ohne Suffix wird der Ticker als US-Wert interpretiert. GOLD FUTURE: fuer eine Gold-Future-Position Ticker 'GC=F' verwenden; Produkt_Typ='Gold Future' wird automatisch gesetzt und der Kurs via yfinance aktualisiert. Sektor: optional, rein informativ. Ideen_Quelle: optional (Trendfolge/Trendwende/Short/Langfrist/Edelmetalle/Manuell) - leer wird als Manuell gewertet; wird nie automatisch ueberschrieben.</t>
  </si>
  <si>
    <t>OPTIONSSCHEIN (zusaetzlich zu Ticker/Einstieg/Stop): Produkt_Typ = 'Optionsschein', Emittent (z.B. HSBC), Hebel (z.B. 5) und OS_Einstiegskurs (dein Kaufkurs des SCHEINS) ausfuellen. WICHTIG: Ticker/Einstieg/Stop/TP beziehen sich IMMER auf den BASISWERT (die Aktie), NIE auf WKN oder Kurs des Scheins selbst! OS_Manueller_Kurs: hier bei Gelegenheit den aktuellen Schein-Kurs eintragen -&gt; echte Performance (Quelle 'manuell', hat Vorrang). Sonst wird geschaetzt: Hebel x Aktienbewegung (Quelle 'geschaetzt'). OS_WKN: reines Notizfeld fuer die WKN/ISIN deines Scheins - wird nie automatisch beschrieben oder ausgewertet, nur fuer deine eigene Zuordnung.</t>
  </si>
  <si>
    <t>AUTOMATISCH BEFUELLT (nicht anfassen): Aktueller_Kurs, Performance_Seit_Einstieg%, OS_Performance%, OS_Quelle. Bei Stop-Beruehrung: Status -&gt; 'Gestoppt' + Ausstiegsdatum/-kurs automatisch. POSITION SELBST VERKAUFT (vor TP1 oder Stop): Status auf 'Verkauft' setzen und Ausstiegsdatum + Ausstiegskurs von Hand eintragen - dann erscheint sie 10 Werktage lang im Abschnitt 'Geschlossene Positionen' mit dem Vermerk 'manuell verkauft' und wird nicht mehr gegen den Stop geprueft. -kurs automatisch. STUFENREGEL (28.07.2026): nach TP1 wird der Stop EINMALIG auf Breakeven (Einstiegskurs) nachgezogen, nach TP2 EINMALIG auf TP1 - jeweils nur bei Stop &gt; 0, nie verschlechternd; manuelles Absenken danach wird respektiert. Position entfernen = Zeile loeschen. Wieder aktivieren = Status auf 'Offen', Ausstiegsdatum/-kurs leeren. Diese ANLEITUNG-Zeile bitte stehen lassen.</t>
  </si>
  <si>
    <t>VNA.DE</t>
  </si>
  <si>
    <t>Vonovia SE</t>
  </si>
  <si>
    <t>Real Estate</t>
  </si>
  <si>
    <t>EU</t>
  </si>
  <si>
    <t>EUR</t>
  </si>
  <si>
    <t>Long</t>
  </si>
  <si>
    <t>Manuell</t>
  </si>
  <si>
    <t>Offen</t>
  </si>
  <si>
    <t>5LA1.F</t>
  </si>
  <si>
    <t>American Lithium Corp.</t>
  </si>
  <si>
    <t>Basic Materials</t>
  </si>
  <si>
    <t>4LL.F</t>
  </si>
  <si>
    <t>Teladoc Health, Inc.</t>
  </si>
  <si>
    <t>Healthcare</t>
  </si>
  <si>
    <t>EUNL.DE</t>
  </si>
  <si>
    <t>iShares Core MSCI World UCITS ETF USD (Acc)</t>
  </si>
  <si>
    <t>ETF</t>
  </si>
  <si>
    <t>Langfrist</t>
  </si>
  <si>
    <t>XDEQ.DE</t>
  </si>
  <si>
    <t>Xtrackers MSCI World Quality UCITS ETF 1C</t>
  </si>
  <si>
    <t>NRJ.PA</t>
  </si>
  <si>
    <t>Amundi MSCI New Energy UCITS ETF Dist</t>
  </si>
  <si>
    <t>PPFD.SG</t>
  </si>
  <si>
    <t>iShares Physical Metals plc - iShares Physical Silver ETC</t>
  </si>
  <si>
    <t>DRH.F</t>
  </si>
  <si>
    <t>DroneShield Limited</t>
  </si>
  <si>
    <t>Industrials</t>
  </si>
  <si>
    <t>LSUG.MI</t>
  </si>
  <si>
    <t>WisdomTree Sugar 2x Daily Leveraged</t>
  </si>
  <si>
    <t>SIX2.DE</t>
  </si>
  <si>
    <t>Sixt SE</t>
  </si>
  <si>
    <t>Optionsschein</t>
  </si>
  <si>
    <t>Uni Credit</t>
  </si>
  <si>
    <t>UN68EW</t>
  </si>
  <si>
    <t>BABA</t>
  </si>
  <si>
    <t>Alibaba Group Holding Limited</t>
  </si>
  <si>
    <t>Consumer Cyclical</t>
  </si>
  <si>
    <t>US</t>
  </si>
  <si>
    <t>USD</t>
  </si>
  <si>
    <t>BNP Paribas</t>
  </si>
  <si>
    <t>PM0216</t>
  </si>
  <si>
    <t>ALB</t>
  </si>
  <si>
    <t>Albemarle Corporation</t>
  </si>
  <si>
    <t>PM026C</t>
  </si>
  <si>
    <t>SPYI.DE</t>
  </si>
  <si>
    <t>State Street SPDR MSCI All Country World Investable Market UCITS ETF</t>
  </si>
  <si>
    <t>JNJ</t>
  </si>
  <si>
    <t>Johnson &amp; Johnson</t>
  </si>
  <si>
    <t>Hebeltrader-Setup</t>
  </si>
  <si>
    <t>TP1 erreicht am 02.09.2026</t>
  </si>
  <si>
    <t>TP1 gemeldet am 03.09.2026</t>
  </si>
  <si>
    <t>B</t>
  </si>
  <si>
    <t>Barrick Mining</t>
  </si>
  <si>
    <t>Trendfolge</t>
  </si>
  <si>
    <t>FCX</t>
  </si>
  <si>
    <t>Freeport-McMoRan</t>
  </si>
  <si>
    <t>PK9UHB</t>
  </si>
  <si>
    <t>JST.DE</t>
  </si>
  <si>
    <t>JOST Werke SE</t>
  </si>
  <si>
    <t>NEM</t>
  </si>
  <si>
    <t>Newmont Corporation</t>
  </si>
  <si>
    <t>Goldman Sachs</t>
  </si>
  <si>
    <t>GW5GT1</t>
  </si>
  <si>
    <t>WAC.DE</t>
  </si>
  <si>
    <t>Wacker Neuson SE</t>
  </si>
  <si>
    <t>IOS.DE</t>
  </si>
  <si>
    <t>IONOS Group SE</t>
  </si>
  <si>
    <t>Technology</t>
  </si>
  <si>
    <t>ENR.DE</t>
  </si>
  <si>
    <t>Siemens Energy AG</t>
  </si>
  <si>
    <t>UN4N9T</t>
  </si>
  <si>
    <t>NBIX</t>
  </si>
  <si>
    <t>Neurocrine Biosciences, Inc.</t>
  </si>
  <si>
    <t>CVS</t>
  </si>
  <si>
    <t>CVS Health Corporation</t>
  </si>
  <si>
    <t>UNH</t>
  </si>
  <si>
    <t>UnitedHealth Group Incorporated</t>
  </si>
  <si>
    <t>HSBC</t>
  </si>
  <si>
    <t>HM0ZHD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</si>
</sst>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0.00&quot; %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2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na.de" TargetMode="External"/><Relationship Id="rId2" Type="http://schemas.openxmlformats.org/officeDocument/2006/relationships/hyperlink" Target="http://eunl.de" TargetMode="External"/><Relationship Id="rId3" Type="http://schemas.openxmlformats.org/officeDocument/2006/relationships/hyperlink" Target="http://xdeq.de" TargetMode="External"/><Relationship Id="rId4" Type="http://schemas.openxmlformats.org/officeDocument/2006/relationships/hyperlink" Target="http://nrj.pa" TargetMode="External"/><Relationship Id="rId11" Type="http://schemas.openxmlformats.org/officeDocument/2006/relationships/hyperlink" Target="http://enr.de" TargetMode="External"/><Relationship Id="rId10" Type="http://schemas.openxmlformats.org/officeDocument/2006/relationships/hyperlink" Target="http://ios.de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wac.de" TargetMode="External"/><Relationship Id="rId5" Type="http://schemas.openxmlformats.org/officeDocument/2006/relationships/hyperlink" Target="http://ppfd.sg" TargetMode="External"/><Relationship Id="rId6" Type="http://schemas.openxmlformats.org/officeDocument/2006/relationships/hyperlink" Target="http://six2.de" TargetMode="External"/><Relationship Id="rId7" Type="http://schemas.openxmlformats.org/officeDocument/2006/relationships/hyperlink" Target="http://spyi.de" TargetMode="External"/><Relationship Id="rId8" Type="http://schemas.openxmlformats.org/officeDocument/2006/relationships/hyperlink" Target="http://jst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H2" s="2"/>
      <c r="I2" s="3"/>
      <c r="J2" s="3"/>
      <c r="K2" s="3"/>
      <c r="L2" s="3"/>
      <c r="M2" s="3"/>
      <c r="O2" s="2"/>
      <c r="P2" s="3"/>
      <c r="Q2" s="4"/>
      <c r="V2" s="3"/>
      <c r="W2" s="3"/>
      <c r="X2" s="3"/>
      <c r="Y2" s="4"/>
    </row>
    <row r="3">
      <c r="A3" s="5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6">
        <v>45936.0</v>
      </c>
      <c r="I3" s="7">
        <v>26.14</v>
      </c>
      <c r="J3" s="7">
        <v>18.7</v>
      </c>
      <c r="K3" s="7">
        <v>1.0</v>
      </c>
      <c r="L3" s="7">
        <v>26.14</v>
      </c>
      <c r="M3" s="7">
        <v>30.0</v>
      </c>
      <c r="N3" s="1" t="s">
        <v>39</v>
      </c>
      <c r="O3" s="2"/>
      <c r="P3" s="3"/>
      <c r="Q3" s="8">
        <v>-28.46</v>
      </c>
      <c r="V3" s="3"/>
      <c r="W3" s="3"/>
      <c r="X3" s="3"/>
      <c r="Y3" s="4"/>
    </row>
    <row r="4">
      <c r="A4" s="1" t="s">
        <v>40</v>
      </c>
      <c r="B4" s="1" t="s">
        <v>41</v>
      </c>
      <c r="C4" s="1" t="s">
        <v>42</v>
      </c>
      <c r="D4" s="1" t="s">
        <v>35</v>
      </c>
      <c r="E4" s="1" t="s">
        <v>36</v>
      </c>
      <c r="F4" s="1" t="s">
        <v>37</v>
      </c>
      <c r="G4" s="1" t="s">
        <v>38</v>
      </c>
      <c r="H4" s="6">
        <v>46214.0</v>
      </c>
      <c r="I4" s="7">
        <v>0.53</v>
      </c>
      <c r="J4" s="7">
        <v>0.29</v>
      </c>
      <c r="K4" s="7">
        <v>0.01</v>
      </c>
      <c r="L4" s="7">
        <v>0.53</v>
      </c>
      <c r="M4" s="7">
        <v>1.0</v>
      </c>
      <c r="N4" s="1" t="s">
        <v>39</v>
      </c>
      <c r="O4" s="2"/>
      <c r="P4" s="3"/>
      <c r="Q4" s="8">
        <v>-45.28</v>
      </c>
      <c r="V4" s="3"/>
      <c r="W4" s="3"/>
      <c r="X4" s="3"/>
      <c r="Y4" s="4"/>
    </row>
    <row r="5">
      <c r="A5" s="1" t="s">
        <v>43</v>
      </c>
      <c r="B5" s="1" t="s">
        <v>44</v>
      </c>
      <c r="C5" s="1" t="s">
        <v>45</v>
      </c>
      <c r="D5" s="1" t="s">
        <v>35</v>
      </c>
      <c r="E5" s="1" t="s">
        <v>36</v>
      </c>
      <c r="F5" s="1" t="s">
        <v>37</v>
      </c>
      <c r="G5" s="1" t="s">
        <v>38</v>
      </c>
      <c r="H5" s="6">
        <v>45698.0</v>
      </c>
      <c r="I5" s="7">
        <v>8.31</v>
      </c>
      <c r="J5" s="7">
        <v>5.33</v>
      </c>
      <c r="K5" s="7">
        <v>1.0</v>
      </c>
      <c r="L5" s="7">
        <v>8.31</v>
      </c>
      <c r="M5" s="7">
        <v>10.0</v>
      </c>
      <c r="N5" s="1" t="s">
        <v>39</v>
      </c>
      <c r="O5" s="2"/>
      <c r="P5" s="3"/>
      <c r="Q5" s="8">
        <v>-35.86</v>
      </c>
      <c r="V5" s="3"/>
      <c r="W5" s="3"/>
      <c r="X5" s="3"/>
      <c r="Y5" s="4"/>
    </row>
    <row r="6">
      <c r="A6" s="5" t="s">
        <v>46</v>
      </c>
      <c r="B6" s="1" t="s">
        <v>47</v>
      </c>
      <c r="C6" s="1" t="s">
        <v>48</v>
      </c>
      <c r="D6" s="1" t="s">
        <v>35</v>
      </c>
      <c r="E6" s="1" t="s">
        <v>36</v>
      </c>
      <c r="F6" s="1" t="s">
        <v>37</v>
      </c>
      <c r="G6" s="1" t="s">
        <v>49</v>
      </c>
      <c r="H6" s="6">
        <v>44594.0</v>
      </c>
      <c r="I6" s="7">
        <v>108.04</v>
      </c>
      <c r="J6" s="7">
        <v>127.53</v>
      </c>
      <c r="K6" s="7">
        <v>1.0</v>
      </c>
      <c r="L6" s="7">
        <v>135.0</v>
      </c>
      <c r="M6" s="7">
        <v>150.0</v>
      </c>
      <c r="N6" s="1" t="s">
        <v>39</v>
      </c>
      <c r="O6" s="2"/>
      <c r="P6" s="3"/>
      <c r="Q6" s="8">
        <v>18.04</v>
      </c>
      <c r="V6" s="3"/>
      <c r="W6" s="3"/>
      <c r="X6" s="3"/>
      <c r="Y6" s="4"/>
    </row>
    <row r="7">
      <c r="A7" s="5" t="s">
        <v>50</v>
      </c>
      <c r="B7" s="1" t="s">
        <v>51</v>
      </c>
      <c r="C7" s="1" t="s">
        <v>48</v>
      </c>
      <c r="D7" s="1" t="s">
        <v>35</v>
      </c>
      <c r="E7" s="1" t="s">
        <v>36</v>
      </c>
      <c r="F7" s="1" t="s">
        <v>37</v>
      </c>
      <c r="G7" s="1" t="s">
        <v>49</v>
      </c>
      <c r="H7" s="6">
        <v>44805.0</v>
      </c>
      <c r="I7" s="7">
        <v>67.71</v>
      </c>
      <c r="J7" s="7">
        <v>78.81</v>
      </c>
      <c r="K7" s="7">
        <v>1.0</v>
      </c>
      <c r="L7" s="7">
        <v>85.0</v>
      </c>
      <c r="M7" s="7">
        <v>100.0</v>
      </c>
      <c r="N7" s="1" t="s">
        <v>39</v>
      </c>
      <c r="O7" s="2"/>
      <c r="P7" s="3"/>
      <c r="Q7" s="8">
        <v>16.39</v>
      </c>
      <c r="V7" s="3"/>
      <c r="W7" s="3"/>
      <c r="X7" s="3"/>
      <c r="Y7" s="4"/>
    </row>
    <row r="8">
      <c r="A8" s="5" t="s">
        <v>52</v>
      </c>
      <c r="B8" s="1" t="s">
        <v>53</v>
      </c>
      <c r="C8" s="1" t="s">
        <v>48</v>
      </c>
      <c r="D8" s="1" t="s">
        <v>35</v>
      </c>
      <c r="E8" s="1" t="s">
        <v>36</v>
      </c>
      <c r="F8" s="1" t="s">
        <v>37</v>
      </c>
      <c r="G8" s="1" t="s">
        <v>38</v>
      </c>
      <c r="H8" s="6">
        <v>46056.0</v>
      </c>
      <c r="I8" s="7">
        <v>38.04</v>
      </c>
      <c r="J8" s="7">
        <v>41.58</v>
      </c>
      <c r="K8" s="7">
        <v>1.0</v>
      </c>
      <c r="L8" s="7">
        <v>45.0</v>
      </c>
      <c r="M8" s="7">
        <v>50.0</v>
      </c>
      <c r="N8" s="1" t="s">
        <v>39</v>
      </c>
      <c r="O8" s="2"/>
      <c r="P8" s="3"/>
      <c r="Q8" s="8">
        <v>9.31</v>
      </c>
      <c r="V8" s="3"/>
      <c r="W8" s="3"/>
      <c r="X8" s="3"/>
      <c r="Y8" s="4"/>
    </row>
    <row r="9">
      <c r="A9" s="5" t="s">
        <v>54</v>
      </c>
      <c r="B9" s="1" t="s">
        <v>55</v>
      </c>
      <c r="D9" s="1" t="s">
        <v>35</v>
      </c>
      <c r="E9" s="1" t="s">
        <v>36</v>
      </c>
      <c r="F9" s="1" t="s">
        <v>37</v>
      </c>
      <c r="G9" s="1" t="s">
        <v>49</v>
      </c>
      <c r="H9" s="6">
        <v>46070.0</v>
      </c>
      <c r="I9" s="7">
        <v>57.2</v>
      </c>
      <c r="J9" s="7">
        <v>54.19</v>
      </c>
      <c r="K9" s="7">
        <v>1.0</v>
      </c>
      <c r="L9" s="7">
        <v>57.2</v>
      </c>
      <c r="M9" s="7">
        <v>75.0</v>
      </c>
      <c r="N9" s="1" t="s">
        <v>39</v>
      </c>
      <c r="O9" s="2"/>
      <c r="P9" s="3"/>
      <c r="Q9" s="8">
        <v>-5.26</v>
      </c>
      <c r="V9" s="3"/>
      <c r="W9" s="3"/>
      <c r="X9" s="3"/>
      <c r="Y9" s="4"/>
    </row>
    <row r="10">
      <c r="A10" s="1" t="s">
        <v>56</v>
      </c>
      <c r="B10" s="1" t="s">
        <v>57</v>
      </c>
      <c r="C10" s="1" t="s">
        <v>58</v>
      </c>
      <c r="D10" s="1" t="s">
        <v>35</v>
      </c>
      <c r="E10" s="1" t="s">
        <v>36</v>
      </c>
      <c r="F10" s="1" t="s">
        <v>37</v>
      </c>
      <c r="G10" s="1" t="s">
        <v>38</v>
      </c>
      <c r="H10" s="6">
        <v>46087.0</v>
      </c>
      <c r="I10" s="7">
        <v>2.16</v>
      </c>
      <c r="J10" s="7">
        <v>1.1</v>
      </c>
      <c r="K10" s="7">
        <v>0.01</v>
      </c>
      <c r="L10" s="7">
        <v>2.16</v>
      </c>
      <c r="M10" s="7">
        <v>2.5</v>
      </c>
      <c r="N10" s="1" t="s">
        <v>39</v>
      </c>
      <c r="O10" s="2"/>
      <c r="P10" s="3"/>
      <c r="Q10" s="8">
        <v>-49.07</v>
      </c>
      <c r="V10" s="3"/>
      <c r="W10" s="3"/>
      <c r="X10" s="3"/>
      <c r="Y10" s="4"/>
    </row>
    <row r="11">
      <c r="A11" s="1" t="s">
        <v>59</v>
      </c>
      <c r="B11" s="1" t="s">
        <v>60</v>
      </c>
      <c r="C11" s="1" t="s">
        <v>48</v>
      </c>
      <c r="D11" s="1" t="s">
        <v>35</v>
      </c>
      <c r="E11" s="1" t="s">
        <v>36</v>
      </c>
      <c r="F11" s="1" t="s">
        <v>37</v>
      </c>
      <c r="G11" s="1" t="s">
        <v>38</v>
      </c>
      <c r="H11" s="6">
        <v>46099.0</v>
      </c>
      <c r="I11" s="7">
        <v>2.06</v>
      </c>
      <c r="J11" s="7">
        <v>2.53</v>
      </c>
      <c r="K11" s="7">
        <v>2.06</v>
      </c>
      <c r="L11" s="7">
        <v>3.0</v>
      </c>
      <c r="M11" s="7">
        <v>3.5</v>
      </c>
      <c r="N11" s="1" t="s">
        <v>39</v>
      </c>
      <c r="O11" s="2"/>
      <c r="P11" s="3"/>
      <c r="Q11" s="8">
        <v>22.82</v>
      </c>
      <c r="V11" s="3"/>
      <c r="W11" s="3"/>
      <c r="X11" s="3"/>
      <c r="Y11" s="4"/>
    </row>
    <row r="12">
      <c r="A12" s="5" t="s">
        <v>61</v>
      </c>
      <c r="B12" s="1" t="s">
        <v>62</v>
      </c>
      <c r="C12" s="1" t="s">
        <v>58</v>
      </c>
      <c r="D12" s="1" t="s">
        <v>35</v>
      </c>
      <c r="E12" s="1" t="s">
        <v>36</v>
      </c>
      <c r="F12" s="1" t="s">
        <v>37</v>
      </c>
      <c r="G12" s="1" t="s">
        <v>38</v>
      </c>
      <c r="H12" s="6">
        <v>46136.0</v>
      </c>
      <c r="I12" s="7">
        <v>72.0</v>
      </c>
      <c r="J12" s="7">
        <v>71.85</v>
      </c>
      <c r="K12" s="7">
        <v>69.5</v>
      </c>
      <c r="L12" s="7">
        <v>75.0</v>
      </c>
      <c r="M12" s="7">
        <v>80.0</v>
      </c>
      <c r="N12" s="1" t="s">
        <v>39</v>
      </c>
      <c r="O12" s="2"/>
      <c r="P12" s="3"/>
      <c r="Q12" s="8">
        <v>-0.21</v>
      </c>
      <c r="T12" s="1" t="s">
        <v>63</v>
      </c>
      <c r="U12" s="1" t="s">
        <v>64</v>
      </c>
      <c r="V12" s="7">
        <v>15.8</v>
      </c>
      <c r="W12" s="7">
        <v>0.51</v>
      </c>
      <c r="X12" s="7">
        <v>0.36</v>
      </c>
      <c r="Y12" s="8">
        <f t="shared" ref="Y12:Y14" si="1">X12*100/W12-100</f>
        <v>-29.41176471</v>
      </c>
      <c r="AA12" s="1"/>
      <c r="AB12" s="1" t="s">
        <v>65</v>
      </c>
    </row>
    <row r="13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37</v>
      </c>
      <c r="G13" s="1" t="s">
        <v>38</v>
      </c>
      <c r="H13" s="6">
        <v>46149.0</v>
      </c>
      <c r="I13" s="7">
        <v>141.0</v>
      </c>
      <c r="J13" s="7">
        <v>113.24</v>
      </c>
      <c r="K13" s="7">
        <v>100.0</v>
      </c>
      <c r="L13" s="7">
        <v>141.0</v>
      </c>
      <c r="M13" s="7">
        <v>160.0</v>
      </c>
      <c r="N13" s="1" t="s">
        <v>39</v>
      </c>
      <c r="O13" s="2"/>
      <c r="P13" s="3"/>
      <c r="Q13" s="8">
        <v>-19.69</v>
      </c>
      <c r="T13" s="1" t="s">
        <v>63</v>
      </c>
      <c r="U13" s="1" t="s">
        <v>71</v>
      </c>
      <c r="V13" s="7">
        <v>11.97</v>
      </c>
      <c r="W13" s="7">
        <v>2.2</v>
      </c>
      <c r="X13" s="7">
        <v>0.7</v>
      </c>
      <c r="Y13" s="8">
        <f t="shared" si="1"/>
        <v>-68.18181818</v>
      </c>
      <c r="AA13" s="1"/>
      <c r="AB13" s="1" t="s">
        <v>72</v>
      </c>
    </row>
    <row r="14">
      <c r="A14" s="1" t="s">
        <v>73</v>
      </c>
      <c r="B14" s="1" t="s">
        <v>74</v>
      </c>
      <c r="C14" s="1" t="s">
        <v>42</v>
      </c>
      <c r="D14" s="1" t="s">
        <v>69</v>
      </c>
      <c r="E14" s="1" t="s">
        <v>70</v>
      </c>
      <c r="F14" s="1" t="s">
        <v>37</v>
      </c>
      <c r="G14" s="1" t="s">
        <v>38</v>
      </c>
      <c r="H14" s="6">
        <v>46154.0</v>
      </c>
      <c r="I14" s="7">
        <v>200.0</v>
      </c>
      <c r="J14" s="7">
        <v>126.28</v>
      </c>
      <c r="K14" s="7">
        <v>100.0</v>
      </c>
      <c r="L14" s="7">
        <v>200.0</v>
      </c>
      <c r="M14" s="7">
        <v>220.0</v>
      </c>
      <c r="N14" s="1" t="s">
        <v>39</v>
      </c>
      <c r="O14" s="2"/>
      <c r="P14" s="3"/>
      <c r="Q14" s="8">
        <v>-36.86</v>
      </c>
      <c r="T14" s="1" t="s">
        <v>63</v>
      </c>
      <c r="U14" s="1" t="s">
        <v>71</v>
      </c>
      <c r="V14" s="7">
        <v>9.45</v>
      </c>
      <c r="W14" s="7">
        <v>3.99</v>
      </c>
      <c r="X14" s="7">
        <v>0.74</v>
      </c>
      <c r="Y14" s="8">
        <f t="shared" si="1"/>
        <v>-81.45363409</v>
      </c>
      <c r="AA14" s="1"/>
      <c r="AB14" s="1" t="s">
        <v>75</v>
      </c>
    </row>
    <row r="15">
      <c r="A15" s="5" t="s">
        <v>76</v>
      </c>
      <c r="B15" s="1" t="s">
        <v>77</v>
      </c>
      <c r="C15" s="1" t="s">
        <v>48</v>
      </c>
      <c r="D15" s="1" t="s">
        <v>35</v>
      </c>
      <c r="E15" s="1" t="s">
        <v>36</v>
      </c>
      <c r="F15" s="1" t="s">
        <v>37</v>
      </c>
      <c r="G15" s="1" t="s">
        <v>49</v>
      </c>
      <c r="H15" s="6">
        <v>46204.0</v>
      </c>
      <c r="I15" s="7">
        <v>11.37</v>
      </c>
      <c r="J15" s="7">
        <v>11.58</v>
      </c>
      <c r="K15" s="7">
        <v>9.0</v>
      </c>
      <c r="L15" s="7">
        <v>15.0</v>
      </c>
      <c r="M15" s="7">
        <v>20.0</v>
      </c>
      <c r="N15" s="1" t="s">
        <v>39</v>
      </c>
      <c r="O15" s="2"/>
      <c r="P15" s="3"/>
      <c r="Q15" s="8">
        <v>1.85</v>
      </c>
      <c r="V15" s="3"/>
      <c r="W15" s="3"/>
      <c r="X15" s="3"/>
      <c r="Y15" s="4"/>
    </row>
    <row r="16">
      <c r="A16" s="1" t="s">
        <v>78</v>
      </c>
      <c r="B16" s="1" t="s">
        <v>79</v>
      </c>
      <c r="C16" s="1" t="s">
        <v>45</v>
      </c>
      <c r="D16" s="1" t="s">
        <v>69</v>
      </c>
      <c r="E16" s="1" t="s">
        <v>70</v>
      </c>
      <c r="F16" s="1" t="s">
        <v>37</v>
      </c>
      <c r="G16" s="1" t="s">
        <v>80</v>
      </c>
      <c r="H16" s="6">
        <v>46246.0</v>
      </c>
      <c r="I16" s="7">
        <v>259.8</v>
      </c>
      <c r="J16" s="7">
        <v>275.23</v>
      </c>
      <c r="K16" s="7">
        <v>264.0</v>
      </c>
      <c r="L16" s="7">
        <v>274.9</v>
      </c>
      <c r="M16" s="7">
        <v>280.0</v>
      </c>
      <c r="N16" s="1" t="s">
        <v>39</v>
      </c>
      <c r="O16" s="2"/>
      <c r="P16" s="3"/>
      <c r="Q16" s="8">
        <v>5.94</v>
      </c>
      <c r="R16" s="1" t="s">
        <v>81</v>
      </c>
      <c r="S16" s="1" t="s">
        <v>82</v>
      </c>
      <c r="V16" s="3"/>
      <c r="W16" s="3"/>
      <c r="X16" s="3"/>
      <c r="Y16" s="4"/>
    </row>
    <row r="17">
      <c r="A17" s="1" t="s">
        <v>83</v>
      </c>
      <c r="B17" s="1" t="s">
        <v>84</v>
      </c>
      <c r="C17" s="1" t="s">
        <v>42</v>
      </c>
      <c r="D17" s="1" t="s">
        <v>69</v>
      </c>
      <c r="E17" s="1" t="s">
        <v>70</v>
      </c>
      <c r="F17" s="1" t="s">
        <v>37</v>
      </c>
      <c r="G17" s="1" t="s">
        <v>85</v>
      </c>
      <c r="H17" s="6">
        <v>46248.0</v>
      </c>
      <c r="I17" s="7">
        <v>41.64</v>
      </c>
      <c r="J17" s="7">
        <v>44.75</v>
      </c>
      <c r="K17" s="7">
        <v>43.0</v>
      </c>
      <c r="L17" s="7">
        <v>49.49</v>
      </c>
      <c r="M17" s="7">
        <v>52.8</v>
      </c>
      <c r="N17" s="1" t="s">
        <v>39</v>
      </c>
      <c r="O17" s="2"/>
      <c r="P17" s="3"/>
      <c r="Q17" s="8">
        <v>7.47</v>
      </c>
      <c r="V17" s="3"/>
      <c r="W17" s="3"/>
      <c r="X17" s="3"/>
      <c r="Y17" s="4"/>
    </row>
    <row r="18">
      <c r="A18" s="1" t="s">
        <v>86</v>
      </c>
      <c r="B18" s="1" t="s">
        <v>87</v>
      </c>
      <c r="C18" s="1" t="s">
        <v>42</v>
      </c>
      <c r="D18" s="1" t="s">
        <v>69</v>
      </c>
      <c r="E18" s="1" t="s">
        <v>70</v>
      </c>
      <c r="F18" s="1" t="s">
        <v>37</v>
      </c>
      <c r="G18" s="1" t="s">
        <v>85</v>
      </c>
      <c r="H18" s="6">
        <v>46253.0</v>
      </c>
      <c r="I18" s="7">
        <v>66.32</v>
      </c>
      <c r="J18" s="7">
        <v>72.73</v>
      </c>
      <c r="K18" s="7">
        <v>71.0</v>
      </c>
      <c r="L18" s="7">
        <v>80.0</v>
      </c>
      <c r="M18" s="7">
        <v>90.0</v>
      </c>
      <c r="N18" s="1" t="s">
        <v>39</v>
      </c>
      <c r="O18" s="2"/>
      <c r="P18" s="3"/>
      <c r="Q18" s="8">
        <v>9.67</v>
      </c>
      <c r="T18" s="1" t="s">
        <v>63</v>
      </c>
      <c r="U18" s="1" t="s">
        <v>71</v>
      </c>
      <c r="V18" s="7">
        <v>3.64</v>
      </c>
      <c r="W18" s="7">
        <v>1.19</v>
      </c>
      <c r="X18" s="7">
        <v>1.54</v>
      </c>
      <c r="Y18" s="8">
        <f>X18*100/W18-100</f>
        <v>29.41176471</v>
      </c>
      <c r="AA18" s="1"/>
      <c r="AB18" s="1" t="s">
        <v>88</v>
      </c>
    </row>
    <row r="19">
      <c r="A19" s="5" t="s">
        <v>89</v>
      </c>
      <c r="B19" s="1" t="s">
        <v>90</v>
      </c>
      <c r="C19" s="1" t="s">
        <v>68</v>
      </c>
      <c r="D19" s="1" t="s">
        <v>35</v>
      </c>
      <c r="E19" s="1" t="s">
        <v>36</v>
      </c>
      <c r="F19" s="1" t="s">
        <v>37</v>
      </c>
      <c r="G19" s="1" t="s">
        <v>80</v>
      </c>
      <c r="H19" s="6">
        <v>46255.0</v>
      </c>
      <c r="I19" s="7">
        <v>59.4</v>
      </c>
      <c r="J19" s="7">
        <v>61.8</v>
      </c>
      <c r="K19" s="7">
        <v>59.5</v>
      </c>
      <c r="L19" s="7">
        <v>64.15</v>
      </c>
      <c r="M19" s="7">
        <v>66.4</v>
      </c>
      <c r="N19" s="1" t="s">
        <v>39</v>
      </c>
      <c r="O19" s="2"/>
      <c r="P19" s="3"/>
      <c r="Q19" s="8">
        <v>4.04</v>
      </c>
      <c r="V19" s="3"/>
      <c r="W19" s="3"/>
      <c r="X19" s="3"/>
      <c r="Y19" s="4"/>
    </row>
    <row r="20">
      <c r="A20" s="1" t="s">
        <v>91</v>
      </c>
      <c r="B20" s="1" t="s">
        <v>92</v>
      </c>
      <c r="C20" s="1" t="s">
        <v>42</v>
      </c>
      <c r="D20" s="1" t="s">
        <v>69</v>
      </c>
      <c r="E20" s="1" t="s">
        <v>70</v>
      </c>
      <c r="F20" s="1" t="s">
        <v>37</v>
      </c>
      <c r="G20" s="1" t="s">
        <v>38</v>
      </c>
      <c r="H20" s="6">
        <v>46258.0</v>
      </c>
      <c r="I20" s="7">
        <v>131.58</v>
      </c>
      <c r="J20" s="7">
        <v>128.09</v>
      </c>
      <c r="K20" s="7">
        <v>122.5</v>
      </c>
      <c r="L20" s="7">
        <v>140.0</v>
      </c>
      <c r="M20" s="7">
        <v>150.0</v>
      </c>
      <c r="N20" s="1" t="s">
        <v>39</v>
      </c>
      <c r="O20" s="2"/>
      <c r="P20" s="3"/>
      <c r="Q20" s="8">
        <v>-2.65</v>
      </c>
      <c r="T20" s="1" t="s">
        <v>63</v>
      </c>
      <c r="U20" s="1" t="s">
        <v>93</v>
      </c>
      <c r="V20" s="7">
        <v>5.2</v>
      </c>
      <c r="W20" s="7">
        <v>2.18</v>
      </c>
      <c r="X20" s="7">
        <v>1.79</v>
      </c>
      <c r="Y20" s="8">
        <f>X20*100/W20-100</f>
        <v>-17.88990826</v>
      </c>
      <c r="AA20" s="1"/>
      <c r="AB20" s="1" t="s">
        <v>94</v>
      </c>
    </row>
    <row r="21">
      <c r="A21" s="5" t="s">
        <v>95</v>
      </c>
      <c r="B21" s="1" t="s">
        <v>96</v>
      </c>
      <c r="C21" s="1" t="s">
        <v>58</v>
      </c>
      <c r="D21" s="1" t="s">
        <v>35</v>
      </c>
      <c r="E21" s="1" t="s">
        <v>36</v>
      </c>
      <c r="F21" s="1" t="s">
        <v>37</v>
      </c>
      <c r="G21" s="1" t="s">
        <v>80</v>
      </c>
      <c r="H21" s="6">
        <v>46262.0</v>
      </c>
      <c r="I21" s="7">
        <v>22.9</v>
      </c>
      <c r="J21" s="7">
        <v>23.65</v>
      </c>
      <c r="K21" s="7">
        <v>22.95</v>
      </c>
      <c r="L21" s="7">
        <v>24.0</v>
      </c>
      <c r="M21" s="7">
        <v>25.5</v>
      </c>
      <c r="N21" s="1" t="s">
        <v>39</v>
      </c>
      <c r="O21" s="2"/>
      <c r="P21" s="3"/>
      <c r="Q21" s="8">
        <v>3.28</v>
      </c>
      <c r="V21" s="3"/>
      <c r="W21" s="3"/>
      <c r="X21" s="3"/>
      <c r="Y21" s="4"/>
    </row>
    <row r="22">
      <c r="A22" s="5" t="s">
        <v>97</v>
      </c>
      <c r="B22" s="1" t="s">
        <v>98</v>
      </c>
      <c r="C22" s="1" t="s">
        <v>99</v>
      </c>
      <c r="D22" s="1" t="s">
        <v>35</v>
      </c>
      <c r="E22" s="1" t="s">
        <v>36</v>
      </c>
      <c r="F22" s="1" t="s">
        <v>37</v>
      </c>
      <c r="G22" s="1" t="s">
        <v>80</v>
      </c>
      <c r="H22" s="6">
        <v>46262.0</v>
      </c>
      <c r="I22" s="7">
        <v>35.12</v>
      </c>
      <c r="J22" s="7">
        <v>34.72</v>
      </c>
      <c r="K22" s="7">
        <v>32.3</v>
      </c>
      <c r="L22" s="7">
        <v>37.0</v>
      </c>
      <c r="M22" s="7">
        <v>40.84</v>
      </c>
      <c r="N22" s="1" t="s">
        <v>39</v>
      </c>
      <c r="O22" s="2"/>
      <c r="P22" s="3"/>
      <c r="Q22" s="8">
        <v>-1.14</v>
      </c>
      <c r="V22" s="3"/>
      <c r="W22" s="3"/>
      <c r="X22" s="3"/>
      <c r="Y22" s="4"/>
    </row>
    <row r="23">
      <c r="A23" s="5" t="s">
        <v>100</v>
      </c>
      <c r="B23" s="1" t="s">
        <v>101</v>
      </c>
      <c r="C23" s="1" t="s">
        <v>58</v>
      </c>
      <c r="D23" s="1" t="s">
        <v>35</v>
      </c>
      <c r="E23" s="1" t="s">
        <v>36</v>
      </c>
      <c r="F23" s="1" t="s">
        <v>37</v>
      </c>
      <c r="G23" s="1" t="s">
        <v>38</v>
      </c>
      <c r="H23" s="6">
        <v>46139.0</v>
      </c>
      <c r="I23" s="7">
        <v>175.0</v>
      </c>
      <c r="J23" s="7">
        <v>147.78</v>
      </c>
      <c r="K23" s="7">
        <v>1.0</v>
      </c>
      <c r="L23" s="7">
        <v>180.0</v>
      </c>
      <c r="M23" s="7">
        <v>200.0</v>
      </c>
      <c r="N23" s="1" t="s">
        <v>39</v>
      </c>
      <c r="O23" s="2"/>
      <c r="P23" s="3"/>
      <c r="Q23" s="8">
        <v>-15.55</v>
      </c>
      <c r="T23" s="1" t="s">
        <v>63</v>
      </c>
      <c r="U23" s="1" t="s">
        <v>64</v>
      </c>
      <c r="V23" s="7">
        <v>40.68</v>
      </c>
      <c r="W23" s="7">
        <v>1.75</v>
      </c>
      <c r="X23" s="7">
        <v>0.34</v>
      </c>
      <c r="Y23" s="8">
        <f>X23*100/W23-100</f>
        <v>-80.57142857</v>
      </c>
      <c r="AA23" s="1"/>
      <c r="AB23" s="1" t="s">
        <v>102</v>
      </c>
    </row>
    <row r="24">
      <c r="A24" s="1" t="s">
        <v>103</v>
      </c>
      <c r="B24" s="1" t="s">
        <v>104</v>
      </c>
      <c r="C24" s="1" t="s">
        <v>45</v>
      </c>
      <c r="D24" s="1" t="s">
        <v>69</v>
      </c>
      <c r="E24" s="1" t="s">
        <v>70</v>
      </c>
      <c r="F24" s="1" t="s">
        <v>37</v>
      </c>
      <c r="G24" s="1" t="s">
        <v>85</v>
      </c>
      <c r="H24" s="6">
        <v>46268.0</v>
      </c>
      <c r="I24" s="7">
        <v>157.79</v>
      </c>
      <c r="J24" s="7">
        <v>155.64</v>
      </c>
      <c r="K24" s="7">
        <v>150.0</v>
      </c>
      <c r="L24" s="7">
        <v>186.12</v>
      </c>
      <c r="M24" s="7">
        <v>200.0</v>
      </c>
      <c r="N24" s="1" t="s">
        <v>39</v>
      </c>
      <c r="O24" s="2"/>
      <c r="P24" s="3"/>
      <c r="Q24" s="8">
        <v>-1.36</v>
      </c>
      <c r="V24" s="3"/>
      <c r="W24" s="3"/>
      <c r="X24" s="3"/>
      <c r="Y24" s="4"/>
    </row>
    <row r="25">
      <c r="A25" s="1" t="s">
        <v>105</v>
      </c>
      <c r="B25" s="1" t="s">
        <v>106</v>
      </c>
      <c r="C25" s="1" t="s">
        <v>45</v>
      </c>
      <c r="D25" s="1" t="s">
        <v>69</v>
      </c>
      <c r="E25" s="1" t="s">
        <v>70</v>
      </c>
      <c r="F25" s="1" t="s">
        <v>37</v>
      </c>
      <c r="G25" s="1" t="s">
        <v>85</v>
      </c>
      <c r="H25" s="6">
        <v>46268.0</v>
      </c>
      <c r="I25" s="7">
        <v>97.23</v>
      </c>
      <c r="J25" s="7">
        <v>96.74</v>
      </c>
      <c r="K25" s="7">
        <v>92.25</v>
      </c>
      <c r="L25" s="7">
        <v>110.68</v>
      </c>
      <c r="M25" s="7">
        <v>116.0</v>
      </c>
      <c r="N25" s="1" t="s">
        <v>39</v>
      </c>
      <c r="O25" s="2"/>
      <c r="P25" s="3"/>
      <c r="Q25" s="8">
        <v>-0.5</v>
      </c>
      <c r="V25" s="3"/>
      <c r="W25" s="3"/>
      <c r="X25" s="3"/>
      <c r="Y25" s="4"/>
    </row>
    <row r="26">
      <c r="A26" s="1" t="s">
        <v>107</v>
      </c>
      <c r="B26" s="1" t="s">
        <v>108</v>
      </c>
      <c r="C26" s="1" t="s">
        <v>45</v>
      </c>
      <c r="D26" s="1" t="s">
        <v>69</v>
      </c>
      <c r="E26" s="1" t="s">
        <v>70</v>
      </c>
      <c r="F26" s="1" t="s">
        <v>37</v>
      </c>
      <c r="G26" s="1" t="s">
        <v>85</v>
      </c>
      <c r="H26" s="6">
        <v>46268.0</v>
      </c>
      <c r="I26" s="7">
        <v>399.66</v>
      </c>
      <c r="J26" s="7">
        <v>397.14</v>
      </c>
      <c r="K26" s="7">
        <v>387.0</v>
      </c>
      <c r="L26" s="7">
        <v>461.62</v>
      </c>
      <c r="M26" s="7">
        <v>475.0</v>
      </c>
      <c r="N26" s="1" t="s">
        <v>39</v>
      </c>
      <c r="O26" s="2"/>
      <c r="P26" s="3"/>
      <c r="Q26" s="8">
        <v>-0.63</v>
      </c>
      <c r="T26" s="1" t="s">
        <v>63</v>
      </c>
      <c r="U26" s="1" t="s">
        <v>109</v>
      </c>
      <c r="V26" s="7">
        <v>7.13</v>
      </c>
      <c r="W26" s="7">
        <v>5.01</v>
      </c>
      <c r="X26" s="7">
        <v>4.57</v>
      </c>
      <c r="Y26" s="8">
        <f>X26*100/W26-100</f>
        <v>-8.78243513</v>
      </c>
      <c r="AA26" s="1"/>
      <c r="AB26" s="1" t="s">
        <v>110</v>
      </c>
    </row>
    <row r="27">
      <c r="H27" s="2"/>
      <c r="I27" s="3"/>
      <c r="J27" s="3"/>
      <c r="K27" s="3"/>
      <c r="L27" s="3"/>
      <c r="M27" s="3"/>
      <c r="O27" s="2"/>
      <c r="P27" s="3"/>
      <c r="Q27" s="4"/>
      <c r="V27" s="3"/>
      <c r="W27" s="3"/>
      <c r="X27" s="3"/>
      <c r="Y27" s="4"/>
    </row>
    <row r="28">
      <c r="H28" s="2"/>
      <c r="I28" s="3"/>
      <c r="J28" s="3"/>
      <c r="K28" s="3"/>
      <c r="L28" s="3"/>
      <c r="M28" s="3"/>
      <c r="O28" s="2"/>
      <c r="P28" s="3"/>
      <c r="Q28" s="4"/>
      <c r="V28" s="3"/>
      <c r="W28" s="3"/>
      <c r="X28" s="3"/>
      <c r="Y28" s="4"/>
    </row>
  </sheetData>
  <hyperlinks>
    <hyperlink r:id="rId1" ref="A3"/>
    <hyperlink r:id="rId2" ref="A6"/>
    <hyperlink r:id="rId3" ref="A7"/>
    <hyperlink r:id="rId4" ref="A8"/>
    <hyperlink r:id="rId5" ref="A9"/>
    <hyperlink r:id="rId6" ref="A12"/>
    <hyperlink r:id="rId7" ref="A15"/>
    <hyperlink r:id="rId8" ref="A19"/>
    <hyperlink r:id="rId9" ref="A21"/>
    <hyperlink r:id="rId10" ref="A22"/>
    <hyperlink r:id="rId11" ref="A23"/>
  </hyperlinks>
  <drawing r:id="rId12"/>
</worksheet>
</file>